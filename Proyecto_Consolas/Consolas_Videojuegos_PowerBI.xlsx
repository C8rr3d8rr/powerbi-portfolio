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niel.corredor\Desktop\pp\Personal\Powerbi\2026\Proyecto consolas\"/>
    </mc:Choice>
  </mc:AlternateContent>
  <xr:revisionPtr revIDLastSave="0" documentId="13_ncr:1_{2C03C1CF-6D1B-460D-A42D-9EA2AAD245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6" r:id="rId1"/>
    <sheet name="Datos Consolas" sheetId="1" r:id="rId2"/>
    <sheet name="Imagenes" sheetId="2" r:id="rId3"/>
    <sheet name="Consolas" sheetId="3" r:id="rId4"/>
    <sheet name="Pais" sheetId="5" r:id="rId5"/>
  </sheets>
  <definedNames>
    <definedName name="_xlnm._FilterDatabase" localSheetId="1" hidden="1">'Datos Consolas'!$A$1:$H$38</definedName>
  </definedNames>
  <calcPr calcId="191029"/>
  <pivotCaches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H10" i="1"/>
  <c r="H11" i="1"/>
  <c r="H12" i="1"/>
  <c r="H15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8" i="1"/>
</calcChain>
</file>

<file path=xl/sharedStrings.xml><?xml version="1.0" encoding="utf-8"?>
<sst xmlns="http://schemas.openxmlformats.org/spreadsheetml/2006/main" count="279" uniqueCount="118">
  <si>
    <t>Consola</t>
  </si>
  <si>
    <t>Generación</t>
  </si>
  <si>
    <t>Categoría</t>
  </si>
  <si>
    <t>Marca</t>
  </si>
  <si>
    <t>País de Origen</t>
  </si>
  <si>
    <t>Año de Lanzamiento</t>
  </si>
  <si>
    <t>Ventas Estimadas (Millones)</t>
  </si>
  <si>
    <t>Magnavox Odyssey</t>
  </si>
  <si>
    <t>Sobremesa</t>
  </si>
  <si>
    <t>Magnavox</t>
  </si>
  <si>
    <t>Estados Unidos</t>
  </si>
  <si>
    <t>Pong (Home version)</t>
  </si>
  <si>
    <t>Atari</t>
  </si>
  <si>
    <t>Color TV-Game</t>
  </si>
  <si>
    <t>Nintendo</t>
  </si>
  <si>
    <t>Japón</t>
  </si>
  <si>
    <t>Atari 2600</t>
  </si>
  <si>
    <t>Intellivision</t>
  </si>
  <si>
    <t>Mattel</t>
  </si>
  <si>
    <t>ColecoVision</t>
  </si>
  <si>
    <t>Coleco</t>
  </si>
  <si>
    <t>Nintendo Entertainment System (NES)</t>
  </si>
  <si>
    <t>Sega Master System</t>
  </si>
  <si>
    <t>Sega</t>
  </si>
  <si>
    <t>Atari 7800</t>
  </si>
  <si>
    <t>Super Nintendo Entertainment System (SNES)</t>
  </si>
  <si>
    <t>Sega Genesis / Mega Drive</t>
  </si>
  <si>
    <t>Game Boy</t>
  </si>
  <si>
    <t>Portátil</t>
  </si>
  <si>
    <t>Sega Game Gear</t>
  </si>
  <si>
    <t>Neo Geo</t>
  </si>
  <si>
    <t>SNK</t>
  </si>
  <si>
    <t>PlayStation</t>
  </si>
  <si>
    <t>Sony</t>
  </si>
  <si>
    <t>Nintendo 64</t>
  </si>
  <si>
    <t>Sega Saturn</t>
  </si>
  <si>
    <t>Game Boy Color</t>
  </si>
  <si>
    <t>PlayStation 2</t>
  </si>
  <si>
    <t>Xbox</t>
  </si>
  <si>
    <t>Microsoft</t>
  </si>
  <si>
    <t>Nintendo GameCube</t>
  </si>
  <si>
    <t>Sega Dreamcast</t>
  </si>
  <si>
    <t>Game Boy Advance</t>
  </si>
  <si>
    <t>Xbox 360</t>
  </si>
  <si>
    <t>PlayStation 3</t>
  </si>
  <si>
    <t>Wii</t>
  </si>
  <si>
    <t>Nintendo DS</t>
  </si>
  <si>
    <t>PlayStation Portable (PSP)</t>
  </si>
  <si>
    <t>PlayStation 4</t>
  </si>
  <si>
    <t>Xbox One</t>
  </si>
  <si>
    <t>Wii U</t>
  </si>
  <si>
    <t>Nintendo 3DS</t>
  </si>
  <si>
    <t>PlayStation Vita</t>
  </si>
  <si>
    <t>Nintendo Switch</t>
  </si>
  <si>
    <t>Híbrido</t>
  </si>
  <si>
    <t>PlayStation 5</t>
  </si>
  <si>
    <t>Xbox Series X/S</t>
  </si>
  <si>
    <t>Steam Deck</t>
  </si>
  <si>
    <t>Valve</t>
  </si>
  <si>
    <t>URL</t>
  </si>
  <si>
    <t>https://www.primecomics.com.co/images/feature_variant/3/Gameboy_Simbolo.jpg</t>
  </si>
  <si>
    <t>https://i.ytimg.com/vi/PR5XF8O4AlA/maxresdefault.jpg</t>
  </si>
  <si>
    <t>https://tu360compras.bancolombia.com/541457-medium_default/consola-playstation-ps5-slim-disco.jpg</t>
  </si>
  <si>
    <t>Descripcion</t>
  </si>
  <si>
    <t>Consolas que son conectadas a las pantallas</t>
  </si>
  <si>
    <t>Consolas que son llevadas a todas partes</t>
  </si>
  <si>
    <t>Consolas que se pueden llevar y treaer a todas partes</t>
  </si>
  <si>
    <t>https://upload.wikimedia.org/wikipedia/commons/b/b9/Atari-2600-Wood-4Sw-Set.jpg</t>
  </si>
  <si>
    <t>https://encrypted-tbn0.gstatic.com/images?q=tbn:ANd9GcTx22XepBWZOkyYKq3o0DN1vPvxk-rfGC2i7A&amp;s</t>
  </si>
  <si>
    <t>https://upload.wikimedia.org/wikipedia/commons/thumb/4/4b/ColecoVision-wController-L.jpg/330px-ColecoVision-wController-L.jpg</t>
  </si>
  <si>
    <t>https://encrypted-tbn0.gstatic.com/images?q=tbn:ANd9GcRVkGKRAosZDsK1_h9weI91pKGhRVK4keOUDA&amp;s</t>
  </si>
  <si>
    <t>https://encrypted-tbn0.gstatic.com/images?q=tbn:ANd9GcRc6SR5mzkbEeD_miPsxpbpu1A2GObhPCF0ng&amp;s</t>
  </si>
  <si>
    <t>https://encrypted-tbn0.gstatic.com/images?q=tbn:ANd9GcSwBAuH1TbVq6YyN38SYN9t9XSv0-26C0n4-Q&amp;s</t>
  </si>
  <si>
    <t>https://m.media-amazon.com/images/I/71YDNC98aaL._AC_UF1000,1000_QL80_.jpg</t>
  </si>
  <si>
    <t>https://encrypted-tbn0.gstatic.com/images?q=tbn:ANd9GcQP82XDJeLPV2yiI43LsQ-sA5bolq17RS4wVQ&amp;s</t>
  </si>
  <si>
    <t>https://encrypted-tbn0.gstatic.com/images?q=tbn:ANd9GcQ-gHMuo_a_ZoFSnHTJheCB4dWA1Y7ge_AGAQ&amp;s</t>
  </si>
  <si>
    <t>https://encrypted-tbn0.gstatic.com/images?q=tbn:ANd9GcQGNhPBez7NESLP4H6Ct6niaWxY5vWEga0stg&amp;s</t>
  </si>
  <si>
    <t>https://image.cdn1.buscalibre.com/3549705.RS500x500.jpg</t>
  </si>
  <si>
    <t>https://encrypted-tbn0.gstatic.com/images?q=tbn:ANd9GcS9BWCy63ZVFDIf1uCSxbmvC61TSzeqqaWFgg&amp;s</t>
  </si>
  <si>
    <t>https://encrypted-tbn0.gstatic.com/images?q=tbn:ANd9GcRf8NUZ2X7nzUbmVcRy_5eU5_bsZqCJivWpzA&amp;s</t>
  </si>
  <si>
    <t>https://encrypted-tbn0.gstatic.com/images?q=tbn:ANd9GcS3CElrnxShLfTTkho1w27oQnRy2VJE6FCULg&amp;s</t>
  </si>
  <si>
    <t>https://encrypted-tbn0.gstatic.com/images?q=tbn:ANd9GcQBULaxt6sjcGMDFc6InZQHIzWjbuSq6b7JGw&amp;s</t>
  </si>
  <si>
    <t>https://encrypted-tbn0.gstatic.com/images?q=tbn:ANd9GcQF6kuhPqzegRsjIB93PZaig0jBWhO9Q8JXpg&amp;s</t>
  </si>
  <si>
    <t>https://encrypted-tbn0.gstatic.com/images?q=tbn:ANd9GcQSfafqUmGiaXQOSczui14-h62uY1u896zuqw&amp;s</t>
  </si>
  <si>
    <t>https://m.media-amazon.com/images/I/61pETE6v4vL.jpg</t>
  </si>
  <si>
    <t>https://encrypted-tbn0.gstatic.com/images?q=tbn:ANd9GcRm5vb8boyyzCRuHpIWm69dZKezGLDNtMW9pA&amp;s</t>
  </si>
  <si>
    <t>https://exitocol.vtexassets.com/arquivos/ids/32434623/consola-sony-playstation-4-slim-500gb-ps4-negra.jpg?v=639059250687830000</t>
  </si>
  <si>
    <t>https://encrypted-tbn0.gstatic.com/images?q=tbn:ANd9GcRvMDCub-gEufOYK0_sDQRg7pg_yVEUB_cGZA&amp;s</t>
  </si>
  <si>
    <t>https://encrypted-tbn0.gstatic.com/images?q=tbn:ANd9GcSfhtovg1-1YwIxbpb4isKdIPhrnTy2NXIoSQ&amp;s</t>
  </si>
  <si>
    <t>https://encrypted-tbn0.gstatic.com/images?q=tbn:ANd9GcRkHgzPnGFWqgdmAaE36xdRrRDCTUf8ylCBRg&amp;s</t>
  </si>
  <si>
    <t>https://upload.wikimedia.org/wikipedia/commons/thumb/2/26/TeleGames-Atari-Pong.jpg/250px-TeleGames-Atari-Pong.jpg</t>
  </si>
  <si>
    <t>https://m.media-amazon.com/images/I/511mrPZIrCL.jpg</t>
  </si>
  <si>
    <t>https://upload.wikimedia.org/wikipedia/commons/thumb/1/11/Sega-Game-Gear-wTv-Tuner.jpg/250px-Sega-Game-Gear-wTv-Tuner.jpg</t>
  </si>
  <si>
    <t>https://upload.wikimedia.org/wikipedia/commons/thumb/a/a1/Sega-Mega-Drive-JP-Mk1-Console-Set.jpg/250px-Sega-Mega-Drive-JP-Mk1-Console-Set.jpg</t>
  </si>
  <si>
    <t>https://upload.wikimedia.org/wikipedia/commons/thumb/8/88/Sega-Master-System-Set.jpg/500px-Sega-Master-System-Set.jpg</t>
  </si>
  <si>
    <t>https://upload.wikimedia.org/wikipedia/commons/thumb/a/a8/Sega-Saturn-Console-Set-Mk1.jpg/250px-Sega-Saturn-Console-Set-Mk1.jpg</t>
  </si>
  <si>
    <t>https://encrypted-tbn0.gstatic.com/images?q=tbn:ANd9GcQh7Ln2hwvwQrTG6lc9xPzsPhFKBfMLaz7naQ&amp;s</t>
  </si>
  <si>
    <t>https://encrypted-tbn0.gstatic.com/images?q=tbn:ANd9GcTiM45bjUikjnrVWK1IRo9R57YLfF-KPXBlrA&amp;s</t>
  </si>
  <si>
    <t>https://encrypted-tbn0.gstatic.com/images?q=tbn:ANd9GcTUCcKiiQ0z-yV9afT6nidSxogAH-CsUPud6A&amp;s</t>
  </si>
  <si>
    <t>https://encrypted-tbn0.gstatic.com/images?q=tbn:ANd9GcS2hGWiBNCxu58ELrhpk4FPWEtTr82PfwT5sw&amp;s</t>
  </si>
  <si>
    <t>https://encrypted-tbn0.gstatic.com/images?q=tbn:ANd9GcQaVwNRDt1eMvC7kfWJZ0cLHUlaILdNKPP3fQ&amp;s</t>
  </si>
  <si>
    <t>https://upload.wikimedia.org/wikipedia/commons/thumb/4/40/Xbox-360-Pro-wController.jpg/250px-Xbox-360-Pro-wController.jpg</t>
  </si>
  <si>
    <t>https://encrypted-tbn0.gstatic.com/images?q=tbn:ANd9GcQ4K1gegy8vohAmWPBIikyRUQOn-eR4IT2ZTA&amp;s</t>
  </si>
  <si>
    <t>https://i.blogs.es/371382/fdsafds/450_1000.jpg</t>
  </si>
  <si>
    <t>Ventas reales</t>
  </si>
  <si>
    <t>https://upload.wikimedia.org/wikipedia/commons/thumb/0/0d/Nintendo.svg/960px-Nintendo.svg.png</t>
  </si>
  <si>
    <t>https://encrypted-tbn0.gstatic.com/images?q=tbn:ANd9GcSX0d7MgUy2tgv6cLyA7Vtlw5PqnTeazMh5BA&amp;s</t>
  </si>
  <si>
    <t>https://encrypted-tbn0.gstatic.com/images?q=tbn:ANd9GcQyPjZYdmN8kTne-EvWgr_rGVIzSFDKENq-6A&amp;s</t>
  </si>
  <si>
    <t>https://encrypted-tbn0.gstatic.com/images?q=tbn:ANd9GcS7xltk1kigupqs5yZoHZC_Hs-c9QIwF46fPQ&amp;s</t>
  </si>
  <si>
    <t>https://encrypted-tbn0.gstatic.com/images?q=tbn:ANd9GcQOU1q9JXXWOzxc-EBBOfJCssb8A3BZWBkYKg&amp;s</t>
  </si>
  <si>
    <t>https://encrypted-tbn0.gstatic.com/images?q=tbn:ANd9GcS1wlv-XlX3w15QxKWcAvhxOwW4AYpi_5J1bA&amp;s</t>
  </si>
  <si>
    <t>https://encrypted-tbn0.gstatic.com/images?q=tbn:ANd9GcQAxy-yzBVHJ-YgPZM7F775ormZyTfdsjuLtA&amp;s</t>
  </si>
  <si>
    <t>https://encrypted-tbn0.gstatic.com/images?q=tbn:ANd9GcRYuSbJGAlVINaydp1BM5x8hpTT4-h2XNN6Ow&amp;s</t>
  </si>
  <si>
    <t>https://encrypted-tbn0.gstatic.com/images?q=tbn:ANd9GcS-dYtMaQupWslS803IrkO7eNXzdG-R7fILvQ&amp;s</t>
  </si>
  <si>
    <t>https://encrypted-tbn0.gstatic.com/images?q=tbn:ANd9GcSDVNu9auCEhYPDHE0e1xqvhadsOdYtG-Vv8g&amp;s</t>
  </si>
  <si>
    <t>Etiquetas de fila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</si>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</sst>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horizontal="left"/>
    </xf>
    <xf numFmtId="0" fontId="1" fillId="0" borderId="2" xfId="0" applyFont="1" applyBorder="1" applyAlignment="1">
      <alignment horizontal="center" vertical="top"/>
    </xf>
    <xf numFmtId="0" fontId="0" fillId="0" borderId="0" xfId="0" pivotButt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Corredor Mazuera" refreshedDate="46150.429217013887" createdVersion="8" refreshedVersion="8" minRefreshableVersion="3" recordCount="38" xr:uid="{D759DB62-8676-4D68-8A4B-222D7EEFA68C}">
  <cacheSource type="worksheet">
    <worksheetSource ref="D1:D1048576" sheet="Datos Consolas"/>
  </cacheSource>
  <cacheFields count="1">
    <cacheField name="Marca" numFmtId="0">
      <sharedItems containsBlank="1" count="11">
        <s v="Magnavox"/>
        <s v="Atari"/>
        <s v="Nintendo"/>
        <s v="Mattel"/>
        <s v="Coleco"/>
        <s v="Sega"/>
        <s v="SNK"/>
        <s v="Sony"/>
        <s v="Microsoft"/>
        <s v="Val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x v="0"/>
  </r>
  <r>
    <x v="1"/>
  </r>
  <r>
    <x v="2"/>
  </r>
  <r>
    <x v="1"/>
  </r>
  <r>
    <x v="3"/>
  </r>
  <r>
    <x v="4"/>
  </r>
  <r>
    <x v="2"/>
  </r>
  <r>
    <x v="5"/>
  </r>
  <r>
    <x v="1"/>
  </r>
  <r>
    <x v="2"/>
  </r>
  <r>
    <x v="5"/>
  </r>
  <r>
    <x v="2"/>
  </r>
  <r>
    <x v="5"/>
  </r>
  <r>
    <x v="6"/>
  </r>
  <r>
    <x v="7"/>
  </r>
  <r>
    <x v="2"/>
  </r>
  <r>
    <x v="5"/>
  </r>
  <r>
    <x v="2"/>
  </r>
  <r>
    <x v="7"/>
  </r>
  <r>
    <x v="8"/>
  </r>
  <r>
    <x v="2"/>
  </r>
  <r>
    <x v="5"/>
  </r>
  <r>
    <x v="2"/>
  </r>
  <r>
    <x v="8"/>
  </r>
  <r>
    <x v="7"/>
  </r>
  <r>
    <x v="2"/>
  </r>
  <r>
    <x v="2"/>
  </r>
  <r>
    <x v="7"/>
  </r>
  <r>
    <x v="7"/>
  </r>
  <r>
    <x v="8"/>
  </r>
  <r>
    <x v="2"/>
  </r>
  <r>
    <x v="2"/>
  </r>
  <r>
    <x v="7"/>
  </r>
  <r>
    <x v="2"/>
  </r>
  <r>
    <x v="7"/>
  </r>
  <r>
    <x v="8"/>
  </r>
  <r>
    <x v="9"/>
  </r>
  <r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7112-219D-4390-8561-7CF49A0EE8C9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5" firstHeaderRow="1" firstDataRow="1" firstDataCol="1"/>
  <pivotFields count="1">
    <pivotField axis="axisRow" showAll="0">
      <items count="12">
        <item x="1"/>
        <item x="4"/>
        <item x="0"/>
        <item x="3"/>
        <item x="8"/>
        <item x="2"/>
        <item x="5"/>
        <item x="6"/>
        <item x="7"/>
        <item x="9"/>
        <item x="1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imecomics.com.co/images/feature_variant/3/Gameboy_Simbolo.jpg" TargetMode="External"/><Relationship Id="rId2" Type="http://schemas.openxmlformats.org/officeDocument/2006/relationships/hyperlink" Target="https://tu360compras.bancolombia.com/541457-medium_default/consola-playstation-ps5-slim-disco.jpg" TargetMode="External"/><Relationship Id="rId1" Type="http://schemas.openxmlformats.org/officeDocument/2006/relationships/hyperlink" Target="https://i.ytimg.com/vi/PR5XF8O4AlA/maxresdefaul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C365-E4AC-4028-A337-5EEF483BEF57}">
  <dimension ref="A3:A15"/>
  <sheetViews>
    <sheetView tabSelected="1" workbookViewId="0">
      <selection activeCell="F10" sqref="F10"/>
    </sheetView>
  </sheetViews>
  <sheetFormatPr baseColWidth="10" defaultRowHeight="15" x14ac:dyDescent="0.25"/>
  <cols>
    <col min="1" max="1" width="17.5703125" bestFit="1" customWidth="1"/>
  </cols>
  <sheetData>
    <row r="3" spans="1:1" x14ac:dyDescent="0.25">
      <c r="A3" s="5" t="s">
        <v>115</v>
      </c>
    </row>
    <row r="4" spans="1:1" x14ac:dyDescent="0.25">
      <c r="A4" s="3" t="s">
        <v>12</v>
      </c>
    </row>
    <row r="5" spans="1:1" x14ac:dyDescent="0.25">
      <c r="A5" s="3" t="s">
        <v>20</v>
      </c>
    </row>
    <row r="6" spans="1:1" x14ac:dyDescent="0.25">
      <c r="A6" s="3" t="s">
        <v>9</v>
      </c>
    </row>
    <row r="7" spans="1:1" x14ac:dyDescent="0.25">
      <c r="A7" s="3" t="s">
        <v>18</v>
      </c>
    </row>
    <row r="8" spans="1:1" x14ac:dyDescent="0.25">
      <c r="A8" s="3" t="s">
        <v>39</v>
      </c>
    </row>
    <row r="9" spans="1:1" x14ac:dyDescent="0.25">
      <c r="A9" s="3" t="s">
        <v>14</v>
      </c>
    </row>
    <row r="10" spans="1:1" x14ac:dyDescent="0.25">
      <c r="A10" s="3" t="s">
        <v>23</v>
      </c>
    </row>
    <row r="11" spans="1:1" x14ac:dyDescent="0.25">
      <c r="A11" s="3" t="s">
        <v>31</v>
      </c>
    </row>
    <row r="12" spans="1:1" x14ac:dyDescent="0.25">
      <c r="A12" s="3" t="s">
        <v>33</v>
      </c>
    </row>
    <row r="13" spans="1:1" x14ac:dyDescent="0.25">
      <c r="A13" s="3" t="s">
        <v>58</v>
      </c>
    </row>
    <row r="14" spans="1:1" x14ac:dyDescent="0.25">
      <c r="A14" s="3" t="s">
        <v>116</v>
      </c>
    </row>
    <row r="15" spans="1:1" x14ac:dyDescent="0.25">
      <c r="A15" s="3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activeCell="D5" sqref="D1:D1048576"/>
    </sheetView>
  </sheetViews>
  <sheetFormatPr baseColWidth="10" defaultColWidth="9.140625" defaultRowHeight="15" x14ac:dyDescent="0.25"/>
  <cols>
    <col min="1" max="1" width="30.140625" customWidth="1"/>
    <col min="2" max="2" width="11.28515625" bestFit="1" customWidth="1"/>
    <col min="3" max="3" width="10.85546875" bestFit="1" customWidth="1"/>
    <col min="4" max="4" width="10" bestFit="1" customWidth="1"/>
    <col min="5" max="5" width="14.28515625" bestFit="1" customWidth="1"/>
    <col min="6" max="6" width="19.140625" bestFit="1" customWidth="1"/>
    <col min="7" max="7" width="26.5703125" bestFit="1" customWidth="1"/>
    <col min="8" max="8" width="1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104</v>
      </c>
    </row>
    <row r="2" spans="1:8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>
        <v>1972</v>
      </c>
      <c r="G2">
        <v>0.35</v>
      </c>
      <c r="H2">
        <v>0.5</v>
      </c>
    </row>
    <row r="3" spans="1:8" x14ac:dyDescent="0.25">
      <c r="A3" t="s">
        <v>11</v>
      </c>
      <c r="B3">
        <v>1</v>
      </c>
      <c r="C3" t="s">
        <v>8</v>
      </c>
      <c r="D3" t="s">
        <v>12</v>
      </c>
      <c r="E3" t="s">
        <v>10</v>
      </c>
      <c r="F3">
        <v>1975</v>
      </c>
      <c r="G3">
        <v>0.15</v>
      </c>
      <c r="H3">
        <v>0.2</v>
      </c>
    </row>
    <row r="4" spans="1:8" x14ac:dyDescent="0.25">
      <c r="A4" t="s">
        <v>13</v>
      </c>
      <c r="B4">
        <v>1</v>
      </c>
      <c r="C4" t="s">
        <v>8</v>
      </c>
      <c r="D4" t="s">
        <v>14</v>
      </c>
      <c r="E4" t="s">
        <v>15</v>
      </c>
      <c r="F4">
        <v>1977</v>
      </c>
      <c r="G4">
        <v>3</v>
      </c>
      <c r="H4">
        <v>5</v>
      </c>
    </row>
    <row r="5" spans="1:8" x14ac:dyDescent="0.25">
      <c r="A5" t="s">
        <v>16</v>
      </c>
      <c r="B5">
        <v>2</v>
      </c>
      <c r="C5" t="s">
        <v>8</v>
      </c>
      <c r="D5" t="s">
        <v>12</v>
      </c>
      <c r="E5" t="s">
        <v>10</v>
      </c>
      <c r="F5">
        <v>1977</v>
      </c>
      <c r="G5">
        <v>30</v>
      </c>
      <c r="H5">
        <v>50</v>
      </c>
    </row>
    <row r="6" spans="1:8" x14ac:dyDescent="0.25">
      <c r="A6" t="s">
        <v>17</v>
      </c>
      <c r="B6">
        <v>2</v>
      </c>
      <c r="C6" t="s">
        <v>8</v>
      </c>
      <c r="D6" t="s">
        <v>18</v>
      </c>
      <c r="E6" t="s">
        <v>10</v>
      </c>
      <c r="F6">
        <v>1979</v>
      </c>
      <c r="G6">
        <v>3</v>
      </c>
      <c r="H6">
        <v>5</v>
      </c>
    </row>
    <row r="7" spans="1:8" x14ac:dyDescent="0.25">
      <c r="A7" t="s">
        <v>19</v>
      </c>
      <c r="B7">
        <v>2</v>
      </c>
      <c r="C7" t="s">
        <v>8</v>
      </c>
      <c r="D7" t="s">
        <v>20</v>
      </c>
      <c r="E7" t="s">
        <v>10</v>
      </c>
      <c r="F7">
        <v>1982</v>
      </c>
      <c r="G7">
        <v>2</v>
      </c>
      <c r="H7">
        <v>6</v>
      </c>
    </row>
    <row r="8" spans="1:8" x14ac:dyDescent="0.25">
      <c r="A8" t="s">
        <v>21</v>
      </c>
      <c r="B8">
        <v>3</v>
      </c>
      <c r="C8" t="s">
        <v>8</v>
      </c>
      <c r="D8" t="s">
        <v>14</v>
      </c>
      <c r="E8" t="s">
        <v>15</v>
      </c>
      <c r="F8">
        <v>1983</v>
      </c>
      <c r="G8">
        <v>61.91</v>
      </c>
      <c r="H8">
        <f>+G8+10</f>
        <v>71.91</v>
      </c>
    </row>
    <row r="9" spans="1:8" x14ac:dyDescent="0.25">
      <c r="A9" t="s">
        <v>22</v>
      </c>
      <c r="B9">
        <v>3</v>
      </c>
      <c r="C9" t="s">
        <v>8</v>
      </c>
      <c r="D9" t="s">
        <v>23</v>
      </c>
      <c r="E9" t="s">
        <v>15</v>
      </c>
      <c r="F9">
        <v>1985</v>
      </c>
      <c r="G9">
        <v>13</v>
      </c>
      <c r="H9">
        <f t="shared" ref="H9:H38" si="0">+G9+10</f>
        <v>23</v>
      </c>
    </row>
    <row r="10" spans="1:8" x14ac:dyDescent="0.25">
      <c r="A10" t="s">
        <v>24</v>
      </c>
      <c r="B10">
        <v>3</v>
      </c>
      <c r="C10" t="s">
        <v>8</v>
      </c>
      <c r="D10" t="s">
        <v>12</v>
      </c>
      <c r="E10" t="s">
        <v>10</v>
      </c>
      <c r="F10">
        <v>1986</v>
      </c>
      <c r="G10">
        <v>3.77</v>
      </c>
      <c r="H10">
        <f t="shared" si="0"/>
        <v>13.77</v>
      </c>
    </row>
    <row r="11" spans="1:8" x14ac:dyDescent="0.25">
      <c r="A11" t="s">
        <v>25</v>
      </c>
      <c r="B11">
        <v>4</v>
      </c>
      <c r="C11" t="s">
        <v>8</v>
      </c>
      <c r="D11" t="s">
        <v>14</v>
      </c>
      <c r="E11" t="s">
        <v>15</v>
      </c>
      <c r="F11">
        <v>1990</v>
      </c>
      <c r="G11">
        <v>49.1</v>
      </c>
      <c r="H11">
        <f t="shared" si="0"/>
        <v>59.1</v>
      </c>
    </row>
    <row r="12" spans="1:8" x14ac:dyDescent="0.25">
      <c r="A12" t="s">
        <v>26</v>
      </c>
      <c r="B12">
        <v>4</v>
      </c>
      <c r="C12" t="s">
        <v>8</v>
      </c>
      <c r="D12" t="s">
        <v>23</v>
      </c>
      <c r="E12" t="s">
        <v>15</v>
      </c>
      <c r="F12">
        <v>1988</v>
      </c>
      <c r="G12">
        <v>30.75</v>
      </c>
      <c r="H12">
        <f t="shared" si="0"/>
        <v>40.75</v>
      </c>
    </row>
    <row r="13" spans="1:8" x14ac:dyDescent="0.25">
      <c r="A13" t="s">
        <v>27</v>
      </c>
      <c r="B13">
        <v>4</v>
      </c>
      <c r="C13" t="s">
        <v>28</v>
      </c>
      <c r="D13" t="s">
        <v>14</v>
      </c>
      <c r="E13" t="s">
        <v>15</v>
      </c>
      <c r="F13">
        <v>1989</v>
      </c>
      <c r="G13">
        <v>118.69</v>
      </c>
      <c r="H13">
        <v>110.23</v>
      </c>
    </row>
    <row r="14" spans="1:8" x14ac:dyDescent="0.25">
      <c r="A14" t="s">
        <v>29</v>
      </c>
      <c r="B14">
        <v>4</v>
      </c>
      <c r="C14" t="s">
        <v>28</v>
      </c>
      <c r="D14" t="s">
        <v>23</v>
      </c>
      <c r="E14" t="s">
        <v>15</v>
      </c>
      <c r="F14">
        <v>1990</v>
      </c>
      <c r="G14">
        <v>10.62</v>
      </c>
      <c r="H14">
        <v>9.4499999999999993</v>
      </c>
    </row>
    <row r="15" spans="1:8" x14ac:dyDescent="0.25">
      <c r="A15" t="s">
        <v>30</v>
      </c>
      <c r="B15">
        <v>4</v>
      </c>
      <c r="C15" t="s">
        <v>8</v>
      </c>
      <c r="D15" t="s">
        <v>31</v>
      </c>
      <c r="E15" t="s">
        <v>15</v>
      </c>
      <c r="F15">
        <v>1990</v>
      </c>
      <c r="G15">
        <v>1</v>
      </c>
      <c r="H15">
        <f t="shared" si="0"/>
        <v>11</v>
      </c>
    </row>
    <row r="16" spans="1:8" x14ac:dyDescent="0.25">
      <c r="A16" t="s">
        <v>32</v>
      </c>
      <c r="B16">
        <v>5</v>
      </c>
      <c r="C16" t="s">
        <v>8</v>
      </c>
      <c r="D16" t="s">
        <v>33</v>
      </c>
      <c r="E16" t="s">
        <v>15</v>
      </c>
      <c r="F16">
        <v>1994</v>
      </c>
      <c r="G16">
        <v>102.49</v>
      </c>
      <c r="H16">
        <v>100</v>
      </c>
    </row>
    <row r="17" spans="1:8" x14ac:dyDescent="0.25">
      <c r="A17" t="s">
        <v>34</v>
      </c>
      <c r="B17">
        <v>5</v>
      </c>
      <c r="C17" t="s">
        <v>8</v>
      </c>
      <c r="D17" t="s">
        <v>14</v>
      </c>
      <c r="E17" t="s">
        <v>15</v>
      </c>
      <c r="F17">
        <v>1996</v>
      </c>
      <c r="G17">
        <v>32.93</v>
      </c>
      <c r="H17">
        <f t="shared" si="0"/>
        <v>42.93</v>
      </c>
    </row>
    <row r="18" spans="1:8" x14ac:dyDescent="0.25">
      <c r="A18" t="s">
        <v>35</v>
      </c>
      <c r="B18">
        <v>5</v>
      </c>
      <c r="C18" t="s">
        <v>8</v>
      </c>
      <c r="D18" t="s">
        <v>23</v>
      </c>
      <c r="E18" t="s">
        <v>15</v>
      </c>
      <c r="F18">
        <v>1994</v>
      </c>
      <c r="G18">
        <v>9.26</v>
      </c>
      <c r="H18">
        <f t="shared" si="0"/>
        <v>19.259999999999998</v>
      </c>
    </row>
    <row r="19" spans="1:8" x14ac:dyDescent="0.25">
      <c r="A19" t="s">
        <v>36</v>
      </c>
      <c r="B19">
        <v>5</v>
      </c>
      <c r="C19" t="s">
        <v>28</v>
      </c>
      <c r="D19" t="s">
        <v>14</v>
      </c>
      <c r="E19" t="s">
        <v>15</v>
      </c>
      <c r="F19">
        <v>1998</v>
      </c>
      <c r="G19">
        <v>118.69</v>
      </c>
      <c r="H19">
        <f t="shared" si="0"/>
        <v>128.69</v>
      </c>
    </row>
    <row r="20" spans="1:8" x14ac:dyDescent="0.25">
      <c r="A20" t="s">
        <v>37</v>
      </c>
      <c r="B20">
        <v>6</v>
      </c>
      <c r="C20" t="s">
        <v>8</v>
      </c>
      <c r="D20" t="s">
        <v>33</v>
      </c>
      <c r="E20" t="s">
        <v>15</v>
      </c>
      <c r="F20">
        <v>2000</v>
      </c>
      <c r="G20">
        <v>155</v>
      </c>
      <c r="H20">
        <f t="shared" si="0"/>
        <v>165</v>
      </c>
    </row>
    <row r="21" spans="1:8" x14ac:dyDescent="0.25">
      <c r="A21" t="s">
        <v>38</v>
      </c>
      <c r="B21">
        <v>6</v>
      </c>
      <c r="C21" t="s">
        <v>8</v>
      </c>
      <c r="D21" t="s">
        <v>39</v>
      </c>
      <c r="E21" t="s">
        <v>10</v>
      </c>
      <c r="F21">
        <v>2001</v>
      </c>
      <c r="G21">
        <v>24</v>
      </c>
      <c r="H21">
        <f t="shared" si="0"/>
        <v>34</v>
      </c>
    </row>
    <row r="22" spans="1:8" x14ac:dyDescent="0.25">
      <c r="A22" t="s">
        <v>40</v>
      </c>
      <c r="B22">
        <v>6</v>
      </c>
      <c r="C22" t="s">
        <v>8</v>
      </c>
      <c r="D22" t="s">
        <v>14</v>
      </c>
      <c r="E22" t="s">
        <v>15</v>
      </c>
      <c r="F22">
        <v>2001</v>
      </c>
      <c r="G22">
        <v>21.74</v>
      </c>
      <c r="H22">
        <f t="shared" si="0"/>
        <v>31.74</v>
      </c>
    </row>
    <row r="23" spans="1:8" x14ac:dyDescent="0.25">
      <c r="A23" t="s">
        <v>41</v>
      </c>
      <c r="B23">
        <v>6</v>
      </c>
      <c r="C23" t="s">
        <v>8</v>
      </c>
      <c r="D23" t="s">
        <v>23</v>
      </c>
      <c r="E23" t="s">
        <v>15</v>
      </c>
      <c r="F23">
        <v>1998</v>
      </c>
      <c r="G23">
        <v>9.1300000000000008</v>
      </c>
      <c r="H23">
        <f t="shared" si="0"/>
        <v>19.130000000000003</v>
      </c>
    </row>
    <row r="24" spans="1:8" x14ac:dyDescent="0.25">
      <c r="A24" t="s">
        <v>42</v>
      </c>
      <c r="B24">
        <v>6</v>
      </c>
      <c r="C24" t="s">
        <v>28</v>
      </c>
      <c r="D24" t="s">
        <v>14</v>
      </c>
      <c r="E24" t="s">
        <v>15</v>
      </c>
      <c r="F24">
        <v>2001</v>
      </c>
      <c r="G24">
        <v>81.510000000000005</v>
      </c>
      <c r="H24">
        <f t="shared" si="0"/>
        <v>91.51</v>
      </c>
    </row>
    <row r="25" spans="1:8" x14ac:dyDescent="0.25">
      <c r="A25" t="s">
        <v>43</v>
      </c>
      <c r="B25">
        <v>7</v>
      </c>
      <c r="C25" t="s">
        <v>8</v>
      </c>
      <c r="D25" t="s">
        <v>39</v>
      </c>
      <c r="E25" t="s">
        <v>10</v>
      </c>
      <c r="F25">
        <v>2005</v>
      </c>
      <c r="G25">
        <v>84</v>
      </c>
      <c r="H25">
        <f t="shared" si="0"/>
        <v>94</v>
      </c>
    </row>
    <row r="26" spans="1:8" x14ac:dyDescent="0.25">
      <c r="A26" t="s">
        <v>44</v>
      </c>
      <c r="B26">
        <v>7</v>
      </c>
      <c r="C26" t="s">
        <v>8</v>
      </c>
      <c r="D26" t="s">
        <v>33</v>
      </c>
      <c r="E26" t="s">
        <v>15</v>
      </c>
      <c r="F26">
        <v>2006</v>
      </c>
      <c r="G26">
        <v>87.4</v>
      </c>
      <c r="H26">
        <f t="shared" si="0"/>
        <v>97.4</v>
      </c>
    </row>
    <row r="27" spans="1:8" x14ac:dyDescent="0.25">
      <c r="A27" t="s">
        <v>45</v>
      </c>
      <c r="B27">
        <v>7</v>
      </c>
      <c r="C27" t="s">
        <v>8</v>
      </c>
      <c r="D27" t="s">
        <v>14</v>
      </c>
      <c r="E27" t="s">
        <v>15</v>
      </c>
      <c r="F27">
        <v>2006</v>
      </c>
      <c r="G27">
        <v>101.63</v>
      </c>
      <c r="H27">
        <f t="shared" si="0"/>
        <v>111.63</v>
      </c>
    </row>
    <row r="28" spans="1:8" x14ac:dyDescent="0.25">
      <c r="A28" t="s">
        <v>46</v>
      </c>
      <c r="B28">
        <v>7</v>
      </c>
      <c r="C28" t="s">
        <v>28</v>
      </c>
      <c r="D28" t="s">
        <v>14</v>
      </c>
      <c r="E28" t="s">
        <v>15</v>
      </c>
      <c r="F28">
        <v>2004</v>
      </c>
      <c r="G28">
        <v>154.02000000000001</v>
      </c>
      <c r="H28">
        <f t="shared" si="0"/>
        <v>164.02</v>
      </c>
    </row>
    <row r="29" spans="1:8" x14ac:dyDescent="0.25">
      <c r="A29" t="s">
        <v>47</v>
      </c>
      <c r="B29">
        <v>7</v>
      </c>
      <c r="C29" t="s">
        <v>28</v>
      </c>
      <c r="D29" t="s">
        <v>33</v>
      </c>
      <c r="E29" t="s">
        <v>15</v>
      </c>
      <c r="F29">
        <v>2004</v>
      </c>
      <c r="G29">
        <v>80</v>
      </c>
      <c r="H29">
        <f t="shared" si="0"/>
        <v>90</v>
      </c>
    </row>
    <row r="30" spans="1:8" x14ac:dyDescent="0.25">
      <c r="A30" t="s">
        <v>48</v>
      </c>
      <c r="B30">
        <v>8</v>
      </c>
      <c r="C30" t="s">
        <v>8</v>
      </c>
      <c r="D30" t="s">
        <v>33</v>
      </c>
      <c r="E30" t="s">
        <v>15</v>
      </c>
      <c r="F30">
        <v>2013</v>
      </c>
      <c r="G30">
        <v>117.2</v>
      </c>
      <c r="H30">
        <f t="shared" si="0"/>
        <v>127.2</v>
      </c>
    </row>
    <row r="31" spans="1:8" x14ac:dyDescent="0.25">
      <c r="A31" t="s">
        <v>49</v>
      </c>
      <c r="B31">
        <v>8</v>
      </c>
      <c r="C31" t="s">
        <v>8</v>
      </c>
      <c r="D31" t="s">
        <v>39</v>
      </c>
      <c r="E31" t="s">
        <v>10</v>
      </c>
      <c r="F31">
        <v>2013</v>
      </c>
      <c r="G31">
        <v>58</v>
      </c>
      <c r="H31">
        <f t="shared" si="0"/>
        <v>68</v>
      </c>
    </row>
    <row r="32" spans="1:8" x14ac:dyDescent="0.25">
      <c r="A32" t="s">
        <v>50</v>
      </c>
      <c r="B32">
        <v>8</v>
      </c>
      <c r="C32" t="s">
        <v>8</v>
      </c>
      <c r="D32" t="s">
        <v>14</v>
      </c>
      <c r="E32" t="s">
        <v>15</v>
      </c>
      <c r="F32">
        <v>2012</v>
      </c>
      <c r="G32">
        <v>13.56</v>
      </c>
      <c r="H32">
        <f t="shared" si="0"/>
        <v>23.560000000000002</v>
      </c>
    </row>
    <row r="33" spans="1:8" x14ac:dyDescent="0.25">
      <c r="A33" t="s">
        <v>51</v>
      </c>
      <c r="B33">
        <v>8</v>
      </c>
      <c r="C33" t="s">
        <v>28</v>
      </c>
      <c r="D33" t="s">
        <v>14</v>
      </c>
      <c r="E33" t="s">
        <v>15</v>
      </c>
      <c r="F33">
        <v>2011</v>
      </c>
      <c r="G33">
        <v>75.94</v>
      </c>
      <c r="H33">
        <f t="shared" si="0"/>
        <v>85.94</v>
      </c>
    </row>
    <row r="34" spans="1:8" x14ac:dyDescent="0.25">
      <c r="A34" t="s">
        <v>52</v>
      </c>
      <c r="B34">
        <v>8</v>
      </c>
      <c r="C34" t="s">
        <v>28</v>
      </c>
      <c r="D34" t="s">
        <v>33</v>
      </c>
      <c r="E34" t="s">
        <v>15</v>
      </c>
      <c r="F34">
        <v>2011</v>
      </c>
      <c r="G34">
        <v>16</v>
      </c>
      <c r="H34">
        <f t="shared" si="0"/>
        <v>26</v>
      </c>
    </row>
    <row r="35" spans="1:8" x14ac:dyDescent="0.25">
      <c r="A35" t="s">
        <v>53</v>
      </c>
      <c r="B35">
        <v>8</v>
      </c>
      <c r="C35" t="s">
        <v>54</v>
      </c>
      <c r="D35" t="s">
        <v>14</v>
      </c>
      <c r="E35" t="s">
        <v>15</v>
      </c>
      <c r="F35">
        <v>2017</v>
      </c>
      <c r="G35">
        <v>139.36000000000001</v>
      </c>
      <c r="H35">
        <f t="shared" si="0"/>
        <v>149.36000000000001</v>
      </c>
    </row>
    <row r="36" spans="1:8" x14ac:dyDescent="0.25">
      <c r="A36" t="s">
        <v>55</v>
      </c>
      <c r="B36">
        <v>9</v>
      </c>
      <c r="C36" t="s">
        <v>8</v>
      </c>
      <c r="D36" t="s">
        <v>33</v>
      </c>
      <c r="E36" t="s">
        <v>15</v>
      </c>
      <c r="F36">
        <v>2020</v>
      </c>
      <c r="G36">
        <v>54</v>
      </c>
      <c r="H36">
        <f t="shared" si="0"/>
        <v>64</v>
      </c>
    </row>
    <row r="37" spans="1:8" x14ac:dyDescent="0.25">
      <c r="A37" t="s">
        <v>56</v>
      </c>
      <c r="B37">
        <v>9</v>
      </c>
      <c r="C37" t="s">
        <v>8</v>
      </c>
      <c r="D37" t="s">
        <v>39</v>
      </c>
      <c r="E37" t="s">
        <v>10</v>
      </c>
      <c r="F37">
        <v>2020</v>
      </c>
      <c r="G37">
        <v>27</v>
      </c>
      <c r="H37">
        <f t="shared" si="0"/>
        <v>37</v>
      </c>
    </row>
    <row r="38" spans="1:8" x14ac:dyDescent="0.25">
      <c r="A38" t="s">
        <v>57</v>
      </c>
      <c r="B38">
        <v>9</v>
      </c>
      <c r="C38" t="s">
        <v>28</v>
      </c>
      <c r="D38" t="s">
        <v>58</v>
      </c>
      <c r="E38" t="s">
        <v>10</v>
      </c>
      <c r="F38">
        <v>2022</v>
      </c>
      <c r="G38">
        <v>3</v>
      </c>
      <c r="H38">
        <f t="shared" si="0"/>
        <v>13</v>
      </c>
    </row>
  </sheetData>
  <autoFilter ref="A1:H38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4430F-D3C4-4E0F-871D-65A1B17AE1BB}">
  <dimension ref="A1:C4"/>
  <sheetViews>
    <sheetView workbookViewId="0">
      <selection activeCell="B10" sqref="B10"/>
    </sheetView>
  </sheetViews>
  <sheetFormatPr baseColWidth="10" defaultRowHeight="15" x14ac:dyDescent="0.25"/>
  <cols>
    <col min="2" max="2" width="96" bestFit="1" customWidth="1"/>
    <col min="3" max="3" width="48.85546875" bestFit="1" customWidth="1"/>
  </cols>
  <sheetData>
    <row r="1" spans="1:3" x14ac:dyDescent="0.25">
      <c r="A1" s="1" t="s">
        <v>2</v>
      </c>
      <c r="B1" s="1" t="s">
        <v>59</v>
      </c>
      <c r="C1" s="1" t="s">
        <v>63</v>
      </c>
    </row>
    <row r="2" spans="1:3" x14ac:dyDescent="0.25">
      <c r="A2" t="s">
        <v>8</v>
      </c>
      <c r="B2" s="2" t="s">
        <v>62</v>
      </c>
      <c r="C2" t="s">
        <v>64</v>
      </c>
    </row>
    <row r="3" spans="1:3" x14ac:dyDescent="0.25">
      <c r="A3" t="s">
        <v>28</v>
      </c>
      <c r="B3" s="2" t="s">
        <v>60</v>
      </c>
      <c r="C3" t="s">
        <v>65</v>
      </c>
    </row>
    <row r="4" spans="1:3" x14ac:dyDescent="0.25">
      <c r="A4" t="s">
        <v>54</v>
      </c>
      <c r="B4" s="2" t="s">
        <v>61</v>
      </c>
      <c r="C4" t="s">
        <v>66</v>
      </c>
    </row>
  </sheetData>
  <hyperlinks>
    <hyperlink ref="B4" r:id="rId1" xr:uid="{BBA1EA1B-CC76-47B1-8FE8-34503C024F68}"/>
    <hyperlink ref="B2" r:id="rId2" xr:uid="{F1964273-4848-46EF-81CC-A01DF70AA766}"/>
    <hyperlink ref="B3" r:id="rId3" xr:uid="{853AEEFB-46A7-4FEB-82FF-1F24409FD7C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A1FDF-4BBF-4016-9254-63F7C40F26F6}">
  <dimension ref="A1:B38"/>
  <sheetViews>
    <sheetView workbookViewId="0"/>
  </sheetViews>
  <sheetFormatPr baseColWidth="10" defaultRowHeight="15" x14ac:dyDescent="0.25"/>
  <cols>
    <col min="1" max="1" width="42.28515625" bestFit="1" customWidth="1"/>
    <col min="2" max="2" width="123.85546875" bestFit="1" customWidth="1"/>
  </cols>
  <sheetData>
    <row r="1" spans="1:2" x14ac:dyDescent="0.25">
      <c r="A1" s="1" t="s">
        <v>0</v>
      </c>
      <c r="B1" t="s">
        <v>59</v>
      </c>
    </row>
    <row r="2" spans="1:2" x14ac:dyDescent="0.25">
      <c r="A2" s="3" t="s">
        <v>16</v>
      </c>
      <c r="B2" t="s">
        <v>67</v>
      </c>
    </row>
    <row r="3" spans="1:2" x14ac:dyDescent="0.25">
      <c r="A3" s="3" t="s">
        <v>24</v>
      </c>
      <c r="B3" t="s">
        <v>68</v>
      </c>
    </row>
    <row r="4" spans="1:2" x14ac:dyDescent="0.25">
      <c r="A4" s="3" t="s">
        <v>19</v>
      </c>
      <c r="B4" t="s">
        <v>69</v>
      </c>
    </row>
    <row r="5" spans="1:2" x14ac:dyDescent="0.25">
      <c r="A5" s="3" t="s">
        <v>13</v>
      </c>
      <c r="B5" t="s">
        <v>70</v>
      </c>
    </row>
    <row r="6" spans="1:2" x14ac:dyDescent="0.25">
      <c r="A6" s="3" t="s">
        <v>27</v>
      </c>
      <c r="B6" t="s">
        <v>71</v>
      </c>
    </row>
    <row r="7" spans="1:2" x14ac:dyDescent="0.25">
      <c r="A7" s="3" t="s">
        <v>42</v>
      </c>
      <c r="B7" t="s">
        <v>72</v>
      </c>
    </row>
    <row r="8" spans="1:2" x14ac:dyDescent="0.25">
      <c r="A8" s="3" t="s">
        <v>36</v>
      </c>
      <c r="B8" t="s">
        <v>73</v>
      </c>
    </row>
    <row r="9" spans="1:2" x14ac:dyDescent="0.25">
      <c r="A9" s="3" t="s">
        <v>17</v>
      </c>
      <c r="B9" t="s">
        <v>74</v>
      </c>
    </row>
    <row r="10" spans="1:2" x14ac:dyDescent="0.25">
      <c r="A10" s="3" t="s">
        <v>7</v>
      </c>
      <c r="B10" t="s">
        <v>75</v>
      </c>
    </row>
    <row r="11" spans="1:2" x14ac:dyDescent="0.25">
      <c r="A11" s="3" t="s">
        <v>30</v>
      </c>
      <c r="B11" t="s">
        <v>76</v>
      </c>
    </row>
    <row r="12" spans="1:2" x14ac:dyDescent="0.25">
      <c r="A12" s="3" t="s">
        <v>51</v>
      </c>
      <c r="B12" t="s">
        <v>77</v>
      </c>
    </row>
    <row r="13" spans="1:2" x14ac:dyDescent="0.25">
      <c r="A13" s="3" t="s">
        <v>34</v>
      </c>
      <c r="B13" t="s">
        <v>78</v>
      </c>
    </row>
    <row r="14" spans="1:2" x14ac:dyDescent="0.25">
      <c r="A14" s="3" t="s">
        <v>46</v>
      </c>
      <c r="B14" t="s">
        <v>79</v>
      </c>
    </row>
    <row r="15" spans="1:2" x14ac:dyDescent="0.25">
      <c r="A15" s="3" t="s">
        <v>21</v>
      </c>
      <c r="B15" t="s">
        <v>80</v>
      </c>
    </row>
    <row r="16" spans="1:2" x14ac:dyDescent="0.25">
      <c r="A16" s="3" t="s">
        <v>40</v>
      </c>
      <c r="B16" t="s">
        <v>81</v>
      </c>
    </row>
    <row r="17" spans="1:2" x14ac:dyDescent="0.25">
      <c r="A17" s="3" t="s">
        <v>53</v>
      </c>
      <c r="B17" t="s">
        <v>82</v>
      </c>
    </row>
    <row r="18" spans="1:2" x14ac:dyDescent="0.25">
      <c r="A18" s="3" t="s">
        <v>32</v>
      </c>
      <c r="B18" t="s">
        <v>83</v>
      </c>
    </row>
    <row r="19" spans="1:2" x14ac:dyDescent="0.25">
      <c r="A19" s="3" t="s">
        <v>37</v>
      </c>
      <c r="B19" t="s">
        <v>84</v>
      </c>
    </row>
    <row r="20" spans="1:2" x14ac:dyDescent="0.25">
      <c r="A20" s="3" t="s">
        <v>44</v>
      </c>
      <c r="B20" t="s">
        <v>85</v>
      </c>
    </row>
    <row r="21" spans="1:2" x14ac:dyDescent="0.25">
      <c r="A21" s="3" t="s">
        <v>48</v>
      </c>
      <c r="B21" t="s">
        <v>86</v>
      </c>
    </row>
    <row r="22" spans="1:2" x14ac:dyDescent="0.25">
      <c r="A22" s="3" t="s">
        <v>55</v>
      </c>
      <c r="B22" t="s">
        <v>87</v>
      </c>
    </row>
    <row r="23" spans="1:2" x14ac:dyDescent="0.25">
      <c r="A23" s="3" t="s">
        <v>47</v>
      </c>
      <c r="B23" t="s">
        <v>88</v>
      </c>
    </row>
    <row r="24" spans="1:2" x14ac:dyDescent="0.25">
      <c r="A24" s="3" t="s">
        <v>52</v>
      </c>
      <c r="B24" t="s">
        <v>89</v>
      </c>
    </row>
    <row r="25" spans="1:2" x14ac:dyDescent="0.25">
      <c r="A25" s="3" t="s">
        <v>11</v>
      </c>
      <c r="B25" t="s">
        <v>90</v>
      </c>
    </row>
    <row r="26" spans="1:2" x14ac:dyDescent="0.25">
      <c r="A26" s="3" t="s">
        <v>41</v>
      </c>
      <c r="B26" t="s">
        <v>91</v>
      </c>
    </row>
    <row r="27" spans="1:2" x14ac:dyDescent="0.25">
      <c r="A27" s="3" t="s">
        <v>29</v>
      </c>
      <c r="B27" t="s">
        <v>92</v>
      </c>
    </row>
    <row r="28" spans="1:2" x14ac:dyDescent="0.25">
      <c r="A28" s="3" t="s">
        <v>26</v>
      </c>
      <c r="B28" t="s">
        <v>93</v>
      </c>
    </row>
    <row r="29" spans="1:2" x14ac:dyDescent="0.25">
      <c r="A29" s="3" t="s">
        <v>22</v>
      </c>
      <c r="B29" t="s">
        <v>94</v>
      </c>
    </row>
    <row r="30" spans="1:2" x14ac:dyDescent="0.25">
      <c r="A30" s="3" t="s">
        <v>35</v>
      </c>
      <c r="B30" t="s">
        <v>95</v>
      </c>
    </row>
    <row r="31" spans="1:2" x14ac:dyDescent="0.25">
      <c r="A31" s="3" t="s">
        <v>57</v>
      </c>
      <c r="B31" t="s">
        <v>96</v>
      </c>
    </row>
    <row r="32" spans="1:2" x14ac:dyDescent="0.25">
      <c r="A32" s="3" t="s">
        <v>25</v>
      </c>
      <c r="B32" t="s">
        <v>97</v>
      </c>
    </row>
    <row r="33" spans="1:2" x14ac:dyDescent="0.25">
      <c r="A33" s="3" t="s">
        <v>45</v>
      </c>
      <c r="B33" t="s">
        <v>98</v>
      </c>
    </row>
    <row r="34" spans="1:2" x14ac:dyDescent="0.25">
      <c r="A34" s="3" t="s">
        <v>50</v>
      </c>
      <c r="B34" t="s">
        <v>99</v>
      </c>
    </row>
    <row r="35" spans="1:2" x14ac:dyDescent="0.25">
      <c r="A35" s="3" t="s">
        <v>38</v>
      </c>
      <c r="B35" t="s">
        <v>100</v>
      </c>
    </row>
    <row r="36" spans="1:2" x14ac:dyDescent="0.25">
      <c r="A36" s="3" t="s">
        <v>43</v>
      </c>
      <c r="B36" t="s">
        <v>101</v>
      </c>
    </row>
    <row r="37" spans="1:2" x14ac:dyDescent="0.25">
      <c r="A37" s="3" t="s">
        <v>49</v>
      </c>
      <c r="B37" t="s">
        <v>102</v>
      </c>
    </row>
    <row r="38" spans="1:2" x14ac:dyDescent="0.25">
      <c r="A38" s="3" t="s">
        <v>56</v>
      </c>
      <c r="B38" t="s">
        <v>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A8BD-C7FF-4D15-9ADE-21F403D9A476}">
  <dimension ref="A1:B11"/>
  <sheetViews>
    <sheetView workbookViewId="0">
      <selection activeCell="C14" sqref="C14"/>
    </sheetView>
  </sheetViews>
  <sheetFormatPr baseColWidth="10" defaultRowHeight="15" x14ac:dyDescent="0.25"/>
  <cols>
    <col min="1" max="1" width="13.7109375" bestFit="1" customWidth="1"/>
    <col min="2" max="2" width="95.28515625" bestFit="1" customWidth="1"/>
  </cols>
  <sheetData>
    <row r="1" spans="1:2" x14ac:dyDescent="0.25">
      <c r="A1" s="1" t="s">
        <v>3</v>
      </c>
      <c r="B1" s="1" t="s">
        <v>59</v>
      </c>
    </row>
    <row r="2" spans="1:2" x14ac:dyDescent="0.25">
      <c r="A2" s="3" t="s">
        <v>12</v>
      </c>
      <c r="B2" t="s">
        <v>111</v>
      </c>
    </row>
    <row r="3" spans="1:2" x14ac:dyDescent="0.25">
      <c r="A3" s="3" t="s">
        <v>20</v>
      </c>
      <c r="B3" t="s">
        <v>110</v>
      </c>
    </row>
    <row r="4" spans="1:2" x14ac:dyDescent="0.25">
      <c r="A4" s="3" t="s">
        <v>9</v>
      </c>
      <c r="B4" t="s">
        <v>109</v>
      </c>
    </row>
    <row r="5" spans="1:2" x14ac:dyDescent="0.25">
      <c r="A5" s="3" t="s">
        <v>18</v>
      </c>
      <c r="B5" t="s">
        <v>108</v>
      </c>
    </row>
    <row r="6" spans="1:2" x14ac:dyDescent="0.25">
      <c r="A6" s="3" t="s">
        <v>39</v>
      </c>
      <c r="B6" t="s">
        <v>106</v>
      </c>
    </row>
    <row r="7" spans="1:2" x14ac:dyDescent="0.25">
      <c r="A7" s="3" t="s">
        <v>14</v>
      </c>
      <c r="B7" t="s">
        <v>105</v>
      </c>
    </row>
    <row r="8" spans="1:2" x14ac:dyDescent="0.25">
      <c r="A8" s="3" t="s">
        <v>23</v>
      </c>
      <c r="B8" t="s">
        <v>107</v>
      </c>
    </row>
    <row r="9" spans="1:2" x14ac:dyDescent="0.25">
      <c r="A9" s="3" t="s">
        <v>31</v>
      </c>
      <c r="B9" t="s">
        <v>112</v>
      </c>
    </row>
    <row r="10" spans="1:2" x14ac:dyDescent="0.25">
      <c r="A10" s="3" t="s">
        <v>33</v>
      </c>
      <c r="B10" t="s">
        <v>113</v>
      </c>
    </row>
    <row r="11" spans="1:2" x14ac:dyDescent="0.25">
      <c r="A11" s="3" t="s">
        <v>58</v>
      </c>
      <c r="B1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Datos Consolas</vt:lpstr>
      <vt:lpstr>Imagenes</vt:lpstr>
      <vt:lpstr>Consolas</vt:lpstr>
      <vt:lpstr>Pais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 CORREDOR MAZUERA</cp:lastModifiedBy>
  <dcterms:created xsi:type="dcterms:W3CDTF">2026-05-06T14:36:16Z</dcterms:created>
  <dcterms:modified xsi:type="dcterms:W3CDTF">2026-05-09T19:44:01Z</dcterms:modified>
</cp:coreProperties>
</file>